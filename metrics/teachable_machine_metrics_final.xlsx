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9d8dd9c70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M Metrics Calculator" sheetId="1" r:id="R67b9141b27e3460b"/>
  </x:sheets>
</x:workbook>
</file>

<file path=xl/sharedStrings.xml><?xml version="1.0" encoding="utf-8"?>
<x:sst xmlns:x="http://schemas.openxmlformats.org/spreadsheetml/2006/main">
  <x:si>
    <x:t xml:space="preserve">Teachable Machine Test Results &amp; Metrics Calculator</x:t>
  </x:si>
  <x:si>
    <x:t xml:space="preserve">#</x:t>
  </x:si>
  <x:si>
    <x:t xml:space="preserve">File Name</x:t>
  </x:si>
  <x:si>
    <x:t xml:space="preserve">Actual Class</x:t>
  </x:si>
  <x:si>
    <x:t xml:space="preserve">Predicted Class</x:t>
  </x:si>
  <x:si>
    <x:t xml:space="preserve">Confidence</x:t>
  </x:si>
  <x:si>
    <x:t xml:space="preserve">Correct?</x:t>
  </x:si>
  <x:si>
    <x:t xml:space="preserve">Metric</x:t>
  </x:si>
  <x:si>
    <x:t xml:space="preserve">Value</x:t>
  </x:si>
  <x:si>
    <x:t xml:space="preserve">Formula</x:t>
  </x:si>
  <x:si>
    <x:t xml:space="preserve">test_phish_01.png</x:t>
  </x:si>
  <x:si>
    <x:t xml:space="preserve">Phishing</x:t>
  </x:si>
  <x:si>
    <x:t xml:space="preserve">TP</x:t>
  </x:si>
  <x:si>
    <x:t xml:space="preserve">Actual Phishing, predicted Phishing</x:t>
  </x:si>
  <x:si>
    <x:t xml:space="preserve">test_phish_02.png</x:t>
  </x:si>
  <x:si>
    <x:t xml:space="preserve">FN</x:t>
  </x:si>
  <x:si>
    <x:t xml:space="preserve">Actual Phishing, predicted Legitimate</x:t>
  </x:si>
  <x:si>
    <x:t xml:space="preserve">test_phish_03.png</x:t>
  </x:si>
  <x:si>
    <x:t xml:space="preserve">FP</x:t>
  </x:si>
  <x:si>
    <x:t xml:space="preserve">Actual Legitimate, predicted Phishing</x:t>
  </x:si>
  <x:si>
    <x:t xml:space="preserve">test_phish_04.png</x:t>
  </x:si>
  <x:si>
    <x:t xml:space="preserve">TN</x:t>
  </x:si>
  <x:si>
    <x:t xml:space="preserve">Actual Legitimate, predicted Legitimate</x:t>
  </x:si>
  <x:si>
    <x:t xml:space="preserve">test_phish_05.png</x:t>
  </x:si>
  <x:si>
    <x:t xml:space="preserve">Accuracy</x:t>
  </x:si>
  <x:si>
    <x:t xml:space="preserve">(TP + TN) / Total</x:t>
  </x:si>
  <x:si>
    <x:t xml:space="preserve">test_legit_01.png</x:t>
  </x:si>
  <x:si>
    <x:t xml:space="preserve">Legitimate</x:t>
  </x:si>
  <x:si>
    <x:t xml:space="preserve">Precision</x:t>
  </x:si>
  <x:si>
    <x:t xml:space="preserve">TP / (TP + FP)</x:t>
  </x:si>
  <x:si>
    <x:t xml:space="preserve">test_legit_02.png</x:t>
  </x:si>
  <x:si>
    <x:t xml:space="preserve">Recall</x:t>
  </x:si>
  <x:si>
    <x:t xml:space="preserve">TP / (TP + FN)</x:t>
  </x:si>
  <x:si>
    <x:t xml:space="preserve">test_legit_03.png</x:t>
  </x:si>
  <x:si>
    <x:t xml:space="preserve">F1 Score</x:t>
  </x:si>
  <x:si>
    <x:t xml:space="preserve">2 * Precision * Recall / (Precision + Recall)</x:t>
  </x:si>
  <x:si>
    <x:t xml:space="preserve">test_legit_04.png</x:t>
  </x:si>
  <x:si>
    <x:t xml:space="preserve">test_legit_05.png</x:t>
  </x:si>
  <x:si>
    <x:t xml:space="preserve">Confusion Matrix</x:t>
  </x:si>
  <x:si>
    <x:t xml:space="preserve">Predicted: Phishing</x:t>
  </x:si>
  <x:si>
    <x:t xml:space="preserve">Predicted: Legitimate</x:t>
  </x:si>
  <x:si>
    <x:t xml:space="preserve">Actual: Phishing</x:t>
  </x:si>
  <x:si>
    <x:t xml:space="preserve">Actual: Legitimate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</x:si>
</x:sst>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0%"/>
  </x:numFmts>
  <x:fonts count="9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4"/>
      <x:color rgb="FFFFFF"/>
      <x:name val="Calibri"/>
    </x:font>
    <x:font>
      <x:b/>
      <x:sz val="11"/>
      <x:name val="Calibri"/>
    </x:font>
    <x:font>
      <x:sz val="11"/>
      <x:name val="Calibri"/>
    </x:font>
    <x:font>
      <x:b/>
      <x:sz val="11"/>
      <x:color rgb="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1">
    <x:border diagonalUp="0" diagonalDown="0"/>
  </x:borders>
  <x:cellStyleXfs count="21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</x:xf>
  </x:cellStyleXfs>
  <x:cellXfs count="8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center" vertical="bottom" wrapText="0"/>
    </x:xf>
    <x:xf numFmtId="164" fontId="6" fillId="3" borderId="0" xfId="20" applyFont="1" applyBorder="1" applyAlignment="1">
      <x:alignment horizontal="center" vertical="bottom" wrapText="0"/>
    </x:xf>
    <x:xf numFmtId="164" fontId="4" fillId="0" borderId="0" xfId="20" applyFont="1" applyBorder="1" applyAlignment="1">
      <x:alignment horizontal="general" vertical="bottom" wrapText="1"/>
    </x:xf>
    <x:xf numFmtId="164" fontId="7" fillId="0" borderId="0" xfId="20" applyFont="1" applyBorder="1" applyAlignment="1">
      <x:alignment horizontal="general" vertical="bottom" wrapText="1"/>
    </x:xf>
    <x:xf numFmtId="165" fontId="4" fillId="0" borderId="0" xfId="20" applyFont="1" applyBorder="1" applyAlignment="1">
      <x:alignment horizontal="general" vertical="bottom" wrapText="1"/>
    </x:xf>
    <x:xf numFmtId="165" fontId="4" fillId="0" borderId="0" xfId="20" applyFont="1" applyBorder="1" applyAlignment="0">
      <x:alignment horizontal="general" vertical="bottom" wrapText="0"/>
    </x:xf>
    <x:xf numFmtId="164" fontId="8" fillId="2" borderId="0" xfId="20" applyFont="1" applyBorder="1" applyAlignment="1">
      <x:alignment horizontal="center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9EA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6d81120744058" /><Relationship Type="http://schemas.openxmlformats.org/officeDocument/2006/relationships/theme" Target="/xl/theme/theme1.xml" Id="R7219b13ff8ee4e80" /><Relationship Type="http://schemas.openxmlformats.org/officeDocument/2006/relationships/sharedStrings" Target="/xl/sharedStrings.xml" Id="Rf13ff66ca11c4eac" /><Relationship Type="http://schemas.openxmlformats.org/officeDocument/2006/relationships/worksheet" Target="/xl/worksheets/sheet1.xml" Id="R67b9141b27e3460b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2" max="2" width="24.979999542236328" hidden="0" customWidth="1"/>
    <x:col min="3" max="4" width="18.15999984741211" hidden="0" customWidth="1"/>
    <x:col min="5" max="5" width="14.760000228881836" hidden="0" customWidth="1"/>
    <x:col min="6" max="6" width="13.619999885559082" hidden="0" customWidth="1"/>
    <x:col min="8" max="8" width="19.299999237060547" hidden="0" customWidth="1"/>
    <x:col min="9" max="9" width="13.619999885559082" hidden="0" customWidth="1"/>
    <x:col min="10" max="10" width="43.13999938964844" hidden="0" customWidth="1"/>
  </x:cols>
  <x:sheetData>
    <x:row r="1" ht="17.350000381469727" hidden="0">
      <x:c r="A1" s="1" t="s">
        <x:v>0</x:v>
      </x:c>
      <x:c r="B1" s="1"/>
      <x:c r="C1" s="1"/>
      <x:c r="D1" s="1"/>
      <x:c r="E1" s="1"/>
      <x:c r="F1" s="1"/>
    </x:row>
    <x:row r="3" ht="15" hidden="0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H3" s="2" t="s">
        <x:v>7</x:v>
      </x:c>
      <x:c r="I3" s="2" t="s">
        <x:v>8</x:v>
      </x:c>
      <x:c r="J3" s="2" t="s">
        <x:v>9</x:v>
      </x:c>
    </x:row>
    <x:row r="4" ht="16.399999618530273" hidden="0">
      <x:c r="A4" s="3" t="n">
        <x:v>1</x:v>
      </x:c>
      <x:c r="B4" s="3" t="s">
        <x:v>10</x:v>
      </x:c>
      <x:c r="C4" s="3" t="s">
        <x:v>11</x:v>
      </x:c>
      <x:c r="D4" s="4" t="s">
        <x:v>11</x:v>
      </x:c>
      <x:c r="E4" s="5" t="n">
        <x:v>1</x:v>
      </x:c>
      <x:c r="F4" s="3" t="str">
        <x:f aca="0">IF(D4="","",IF(C4=D4,"Yes","No"))</x:f>
        <x:v>Yes</x:v>
      </x:c>
      <x:c r="H4" t="s">
        <x:v>12</x:v>
      </x:c>
      <x:c r="I4" t="n">
        <x:f aca="0">COUNTIFS(C4:C13,"Phishing",D4:D13,"Phishing")</x:f>
        <x:v>5</x:v>
      </x:c>
      <x:c r="J4" t="s">
        <x:v>13</x:v>
      </x:c>
    </x:row>
    <x:row r="5" ht="16.399999618530273" hidden="0">
      <x:c r="A5" s="3" t="n">
        <x:v>2</x:v>
      </x:c>
      <x:c r="B5" s="3" t="s">
        <x:v>14</x:v>
      </x:c>
      <x:c r="C5" s="3" t="s">
        <x:v>11</x:v>
      </x:c>
      <x:c r="D5" s="4" t="s">
        <x:v>11</x:v>
      </x:c>
      <x:c r="E5" s="5" t="n">
        <x:v>0.96</x:v>
      </x:c>
      <x:c r="F5" s="3" t="str">
        <x:f aca="0">IF(D5="","",IF(C5=D5,"Yes","No"))</x:f>
        <x:v>Yes</x:v>
      </x:c>
      <x:c r="H5" t="s">
        <x:v>15</x:v>
      </x:c>
      <x:c r="I5" t="n">
        <x:f aca="0">COUNTIFS(C4:C13,"Phishing",D4:D13,"Legitimate")</x:f>
        <x:v>0</x:v>
      </x:c>
      <x:c r="J5" t="s">
        <x:v>16</x:v>
      </x:c>
    </x:row>
    <x:row r="6" ht="16.399999618530273" hidden="0">
      <x:c r="A6" s="3" t="n">
        <x:v>3</x:v>
      </x:c>
      <x:c r="B6" s="3" t="s">
        <x:v>17</x:v>
      </x:c>
      <x:c r="C6" s="3" t="s">
        <x:v>11</x:v>
      </x:c>
      <x:c r="D6" s="4" t="s">
        <x:v>11</x:v>
      </x:c>
      <x:c r="E6" s="5" t="n">
        <x:v>1</x:v>
      </x:c>
      <x:c r="F6" s="3" t="str">
        <x:f aca="0">IF(D6="","",IF(C6=D6,"Yes","No"))</x:f>
        <x:v>Yes</x:v>
      </x:c>
      <x:c r="H6" t="s">
        <x:v>18</x:v>
      </x:c>
      <x:c r="I6" t="n">
        <x:f aca="0">COUNTIFS(C4:C13,"Legitimate",D4:D13,"Phishing")</x:f>
        <x:v>0</x:v>
      </x:c>
      <x:c r="J6" t="s">
        <x:v>19</x:v>
      </x:c>
    </x:row>
    <x:row r="7" ht="16.399999618530273" hidden="0">
      <x:c r="A7" s="3" t="n">
        <x:v>4</x:v>
      </x:c>
      <x:c r="B7" s="3" t="s">
        <x:v>20</x:v>
      </x:c>
      <x:c r="C7" s="3" t="s">
        <x:v>11</x:v>
      </x:c>
      <x:c r="D7" s="4" t="s">
        <x:v>11</x:v>
      </x:c>
      <x:c r="E7" s="5" t="n">
        <x:v>0.99</x:v>
      </x:c>
      <x:c r="F7" s="3" t="str">
        <x:f aca="0">IF(D7="","",IF(C7=D7,"Yes","No"))</x:f>
        <x:v>Yes</x:v>
      </x:c>
      <x:c r="H7" t="s">
        <x:v>21</x:v>
      </x:c>
      <x:c r="I7" t="n">
        <x:f aca="0">COUNTIFS(C4:C13,"Legitimate",D4:D13,"Legitimate")</x:f>
        <x:v>5</x:v>
      </x:c>
      <x:c r="J7" t="s">
        <x:v>22</x:v>
      </x:c>
    </x:row>
    <x:row r="8" ht="16.399999618530273" hidden="0">
      <x:c r="A8" s="3" t="n">
        <x:v>5</x:v>
      </x:c>
      <x:c r="B8" s="3" t="s">
        <x:v>23</x:v>
      </x:c>
      <x:c r="C8" s="3" t="s">
        <x:v>11</x:v>
      </x:c>
      <x:c r="D8" s="4" t="s">
        <x:v>11</x:v>
      </x:c>
      <x:c r="E8" s="5" t="n">
        <x:v>0.94</x:v>
      </x:c>
      <x:c r="F8" s="3" t="str">
        <x:f aca="0">IF(D8="","",IF(C8=D8,"Yes","No"))</x:f>
        <x:v>Yes</x:v>
      </x:c>
      <x:c r="H8" t="s">
        <x:v>24</x:v>
      </x:c>
      <x:c r="I8" s="6" t="n">
        <x:f aca="0">IFERROR((I4+I7)/SUM(I4:I7),"")</x:f>
        <x:v>1</x:v>
      </x:c>
      <x:c r="J8" t="s">
        <x:v>25</x:v>
      </x:c>
    </x:row>
    <x:row r="9" ht="16.399999618530273" hidden="0">
      <x:c r="A9" s="3" t="n">
        <x:v>6</x:v>
      </x:c>
      <x:c r="B9" s="3" t="s">
        <x:v>26</x:v>
      </x:c>
      <x:c r="C9" s="3" t="s">
        <x:v>27</x:v>
      </x:c>
      <x:c r="D9" s="3" t="s">
        <x:v>27</x:v>
      </x:c>
      <x:c r="E9" s="5" t="n">
        <x:v>1</x:v>
      </x:c>
      <x:c r="F9" s="3" t="str">
        <x:f aca="0">IF(D9="","",IF(C9=D9,"Yes","No"))</x:f>
        <x:v>Yes</x:v>
      </x:c>
      <x:c r="H9" t="s">
        <x:v>28</x:v>
      </x:c>
      <x:c r="I9" s="6" t="n">
        <x:f aca="0">IFERROR(I4/(I4+I6),"")</x:f>
        <x:v>1</x:v>
      </x:c>
      <x:c r="J9" t="s">
        <x:v>29</x:v>
      </x:c>
    </x:row>
    <x:row r="10" ht="16.399999618530273" hidden="0">
      <x:c r="A10" s="3" t="n">
        <x:v>7</x:v>
      </x:c>
      <x:c r="B10" s="3" t="s">
        <x:v>30</x:v>
      </x:c>
      <x:c r="C10" s="3" t="s">
        <x:v>27</x:v>
      </x:c>
      <x:c r="D10" s="4" t="s">
        <x:v>27</x:v>
      </x:c>
      <x:c r="E10" s="5" t="n">
        <x:v>1</x:v>
      </x:c>
      <x:c r="F10" s="3" t="str">
        <x:f aca="0">IF(D10="","",IF(C10=D10,"Yes","No"))</x:f>
        <x:v>Yes</x:v>
      </x:c>
      <x:c r="H10" t="s">
        <x:v>31</x:v>
      </x:c>
      <x:c r="I10" s="6" t="n">
        <x:f aca="0">IFERROR(I4/(I4+I5),"")</x:f>
        <x:v>1</x:v>
      </x:c>
      <x:c r="J10" t="s">
        <x:v>32</x:v>
      </x:c>
    </x:row>
    <x:row r="11" ht="16.399999618530273" hidden="0">
      <x:c r="A11" s="3" t="n">
        <x:v>8</x:v>
      </x:c>
      <x:c r="B11" s="3" t="s">
        <x:v>33</x:v>
      </x:c>
      <x:c r="C11" s="3" t="s">
        <x:v>27</x:v>
      </x:c>
      <x:c r="D11" s="4" t="s">
        <x:v>27</x:v>
      </x:c>
      <x:c r="E11" s="5" t="n">
        <x:v>1</x:v>
      </x:c>
      <x:c r="F11" s="3" t="str">
        <x:f aca="0">IF(D11="","",IF(C11=D11,"Yes","No"))</x:f>
        <x:v>Yes</x:v>
      </x:c>
      <x:c r="H11" t="s">
        <x:v>34</x:v>
      </x:c>
      <x:c r="I11" s="6" t="n">
        <x:f aca="0">IFERROR(2*(I9*I10)/(I9+I10),"")</x:f>
        <x:v>1</x:v>
      </x:c>
      <x:c r="J11" t="s">
        <x:v>35</x:v>
      </x:c>
    </x:row>
    <x:row r="12" ht="16.399999618530273" hidden="0">
      <x:c r="A12" s="3" t="n">
        <x:v>9</x:v>
      </x:c>
      <x:c r="B12" s="3" t="s">
        <x:v>36</x:v>
      </x:c>
      <x:c r="C12" s="3" t="s">
        <x:v>27</x:v>
      </x:c>
      <x:c r="D12" s="4" t="s">
        <x:v>27</x:v>
      </x:c>
      <x:c r="E12" s="5" t="n">
        <x:v>0.99</x:v>
      </x:c>
      <x:c r="F12" s="3" t="str">
        <x:f aca="0">IF(D12="","",IF(C12=D12,"Yes","No"))</x:f>
        <x:v>Yes</x:v>
      </x:c>
    </x:row>
    <x:row r="13" ht="16.399999618530273" hidden="0">
      <x:c r="A13" s="3" t="n">
        <x:v>10</x:v>
      </x:c>
      <x:c r="B13" s="3" t="s">
        <x:v>37</x:v>
      </x:c>
      <x:c r="C13" s="3" t="s">
        <x:v>27</x:v>
      </x:c>
      <x:c r="D13" s="4" t="s">
        <x:v>27</x:v>
      </x:c>
      <x:c r="E13" s="5" t="n">
        <x:v>0.99</x:v>
      </x:c>
      <x:c r="F13" s="3" t="str">
        <x:f aca="0">IF(D13="","",IF(C13=D13,"Yes","No"))</x:f>
        <x:v>Yes</x:v>
      </x:c>
      <x:c r="H13" s="7" t="s">
        <x:v>38</x:v>
      </x:c>
      <x:c r="I13" s="7"/>
      <x:c r="J13" s="7"/>
    </x:row>
    <x:row r="14" ht="15" hidden="0">
      <x:c r="H14" s="2"/>
      <x:c r="I14" s="2" t="s">
        <x:v>39</x:v>
      </x:c>
      <x:c r="J14" s="2" t="s">
        <x:v>40</x:v>
      </x:c>
    </x:row>
    <x:row r="15" ht="15" hidden="0">
      <x:c r="H15" t="s">
        <x:v>41</x:v>
      </x:c>
      <x:c r="I15" t="n">
        <x:f aca="0">I4</x:f>
        <x:v>5</x:v>
      </x:c>
      <x:c r="J15" t="n">
        <x:f aca="0">I5</x:f>
        <x:v>0</x:v>
      </x:c>
    </x:row>
    <x:row r="16" ht="15" hidden="0">
      <x:c r="H16" t="s">
        <x:v>42</x:v>
      </x:c>
      <x:c r="I16" t="n">
        <x:f aca="0">I6</x:f>
        <x:v>0</x:v>
      </x:c>
      <x:c r="J16" t="n">
        <x:f aca="0">I7</x:f>
        <x:v>5</x:v>
      </x:c>
    </x:row>
  </x:sheetData>
  <x:mergeCells>
    <x:mergeCell ref="A1:F1"/>
    <x:mergeCell ref="H13:J13"/>
  </x:mergeCells>
  <x:dataValidations count="1">
    <x:dataValidation type="list" errorStyle="stop" operator="between" allowBlank="0" showDropDown="0" showInputMessage="0" showErrorMessage="0" sqref="D4:D13">
      <x:formula1>"Phishing,Legitimate"</x:formula1>
      <x:formula2>0</x:formula2>
    </x:dataValidation>
  </x:dataValidations>
  <x:pageMargins left="0.7" right="0.7" top="0.75" bottom="0.75" header="0.3" footer="0.3"/>
</x:worksheet>
</file>